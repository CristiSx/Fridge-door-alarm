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<sst xmlns="http://schemas.openxmlformats.org/spreadsheetml/2006/main" count="105" uniqueCount="75">
  <si>
    <t xml:space="preserve"> Nr. Curent</t>
  </si>
  <si>
    <t>Cantitate</t>
  </si>
  <si>
    <t>Referinta</t>
  </si>
  <si>
    <t>Componenta</t>
  </si>
  <si>
    <t>Descriere</t>
  </si>
  <si>
    <t>Montare</t>
  </si>
  <si>
    <t>Capsula</t>
  </si>
  <si>
    <t>Producator</t>
  </si>
  <si>
    <t>Distribuitor</t>
  </si>
  <si>
    <t>Cod Produs</t>
  </si>
  <si>
    <t>Pret Per Bucata (RON)</t>
  </si>
  <si>
    <t>Cantitate Minima</t>
  </si>
  <si>
    <t>Pret comanda (RON)</t>
  </si>
  <si>
    <t>Link</t>
  </si>
  <si>
    <t>R1</t>
  </si>
  <si>
    <t>10K</t>
  </si>
  <si>
    <t>Rezistor: thick film; 1206; 10kΩ; 250mW; ±1%; 100ppm/°C</t>
  </si>
  <si>
    <t>SMD</t>
  </si>
  <si>
    <t>1206 (3216 Metric)</t>
  </si>
  <si>
    <t>WALSIN</t>
  </si>
  <si>
    <t>tme.eu</t>
  </si>
  <si>
    <t>WR12X1002FTL</t>
  </si>
  <si>
    <t>R2</t>
  </si>
  <si>
    <t>16/50 k</t>
  </si>
  <si>
    <t>Fotorezistor; 100mW; 16÷50kΩ; 540nm; THT; 150VDC; ØLED: 5mm</t>
  </si>
  <si>
    <t>THT</t>
  </si>
  <si>
    <t>JUMPER2</t>
  </si>
  <si>
    <t>Token</t>
  </si>
  <si>
    <t>PGM5537</t>
  </si>
  <si>
    <t>R3</t>
  </si>
  <si>
    <t>2.2M</t>
  </si>
  <si>
    <t>Rezistor: thick film; SMD; 1206; 2,2MΩ; 0,25W; ±1%; -55÷155°C</t>
  </si>
  <si>
    <t>VISHAY</t>
  </si>
  <si>
    <t>CRCW12062M20FKTABC</t>
  </si>
  <si>
    <t>R4</t>
  </si>
  <si>
    <t>1M</t>
  </si>
  <si>
    <t>Rezistor: thick film; 1206; 1MΩ; 250mW; ±1%; 100ppm/°C; 178mm</t>
  </si>
  <si>
    <t>WR12X1004FTL</t>
  </si>
  <si>
    <t>C1</t>
  </si>
  <si>
    <t>10µF</t>
  </si>
  <si>
    <t>Condensator: electrolitic; THT; 10uF; 25VDC; Ø4x7mm; Raster: 5mm</t>
  </si>
  <si>
    <t>CAP600</t>
  </si>
  <si>
    <t>Panasonic</t>
  </si>
  <si>
    <t>EEAGA1E100B</t>
  </si>
  <si>
    <t>C2</t>
  </si>
  <si>
    <t>100nF</t>
  </si>
  <si>
    <t>Condensator: din polietilenă; 100nF; SMD; ±10%; 1210; -55÷125°C</t>
  </si>
  <si>
    <t>SMC1210 (3225 Metric)</t>
  </si>
  <si>
    <t>KEMET</t>
  </si>
  <si>
    <t>LDEDB3100KA0N00</t>
  </si>
  <si>
    <t>D1</t>
  </si>
  <si>
    <t>0.15 A</t>
  </si>
  <si>
    <t>DIODE, ULTRAFAST RECOVERY, 150mA, 75V, DO-204AH-2</t>
  </si>
  <si>
    <t>DO-35</t>
  </si>
  <si>
    <t>multicomp pro</t>
  </si>
  <si>
    <t>https://ro.farnell.com/</t>
  </si>
  <si>
    <t>1N4148.</t>
  </si>
  <si>
    <t>IC1,IC2</t>
  </si>
  <si>
    <t>TLC555CP</t>
  </si>
  <si>
    <t>IC: peripheral circuit; astable,timer; 2.1MHz; 2÷15VDC; DIP8; tube</t>
  </si>
  <si>
    <t>DIP-8</t>
  </si>
  <si>
    <t>TEXAS INSTRUMENTS</t>
  </si>
  <si>
    <t>Buzzer</t>
  </si>
  <si>
    <t>3 kHz</t>
  </si>
  <si>
    <t>Electromechanical Buzzer 70dB 3kHz 4V -30 ... 70°C</t>
  </si>
  <si>
    <t>RND</t>
  </si>
  <si>
    <t>distrelec.ch</t>
  </si>
  <si>
    <t>RND 430-00022</t>
  </si>
  <si>
    <t>Baterie</t>
  </si>
  <si>
    <t>3 V</t>
  </si>
  <si>
    <t>Baterie: litiu; CR2032,monedă; 3V; 225mAh; nereîncărcabilă</t>
  </si>
  <si>
    <t>-</t>
  </si>
  <si>
    <t>EVE BATTERY</t>
  </si>
  <si>
    <t>BAT-CR2032/EVE</t>
  </si>
  <si>
    <t>Total (RON)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</si>
</sst>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color rgb="FF2E353B"/>
      <name val="Lato"/>
    </font>
    <font>
      <u/>
      <color rgb="FF2E353B"/>
      <name val="Lato"/>
    </font>
    <font>
      <u/>
      <color rgb="FF0000FF"/>
    </font>
    <font>
      <u/>
      <color rgb="FF0000FF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1" numFmtId="0" xfId="0" applyFont="1"/>
    <xf borderId="0" fillId="0" fontId="5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0" fontId="6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2" pivot="0" name="Sheet1-style">
      <tableStyleElement dxfId="1" type="firstRowStripe"/>
      <tableStyleElement dxfId="2" type="secondRowStripe"/>
    </tableStyle>
    <tableStyle count="2" pivot="0" name="Sheet1-style 2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B3:O12" displayName="Table_1" name="Table_1" id="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headerRowCount="0" ref="B15:K24" displayName="Table_2" name="Table_2" id="2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tme.eu/ro/details/bat-cr2032_eve/baterii/eve-battery/cr2032-3v-225mah/" TargetMode="External"/><Relationship Id="rId11" Type="http://schemas.openxmlformats.org/officeDocument/2006/relationships/hyperlink" Target="https://www.tme.eu/" TargetMode="External"/><Relationship Id="rId10" Type="http://schemas.openxmlformats.org/officeDocument/2006/relationships/hyperlink" Target="https://www.tme.eu/ro/details/cl21a106kaynnne/condensatoare-mlcc-smd/samsung/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s://www.tme.eu/" TargetMode="External"/><Relationship Id="rId24" Type="http://schemas.openxmlformats.org/officeDocument/2006/relationships/table" Target="../tables/table1.xml"/><Relationship Id="rId12" Type="http://schemas.openxmlformats.org/officeDocument/2006/relationships/hyperlink" Target="https://www.tme.eu/ro/katalog/condensatoare-smd-altele_100266/?queryPhrase=100%20nF%2063V" TargetMode="External"/><Relationship Id="rId1" Type="http://schemas.openxmlformats.org/officeDocument/2006/relationships/hyperlink" Target="https://www.tme.eu/" TargetMode="External"/><Relationship Id="rId2" Type="http://schemas.openxmlformats.org/officeDocument/2006/relationships/hyperlink" Target="https://www.tme.eu/ro/details/wr12x1002ftl/rezistente-smd/walsin/" TargetMode="External"/><Relationship Id="rId3" Type="http://schemas.openxmlformats.org/officeDocument/2006/relationships/hyperlink" Target="https://www.tme.eu/" TargetMode="External"/><Relationship Id="rId4" Type="http://schemas.openxmlformats.org/officeDocument/2006/relationships/hyperlink" Target="https://www.tme.eu/ro/details/pgm5537/fotorezistori/token/" TargetMode="External"/><Relationship Id="rId9" Type="http://schemas.openxmlformats.org/officeDocument/2006/relationships/hyperlink" Target="https://www.tme.eu/" TargetMode="External"/><Relationship Id="rId15" Type="http://schemas.openxmlformats.org/officeDocument/2006/relationships/hyperlink" Target="https://www.tme.eu/" TargetMode="External"/><Relationship Id="rId14" Type="http://schemas.openxmlformats.org/officeDocument/2006/relationships/hyperlink" Target="https://ro.farnell.com/multicomp-pro/1n4148/diode-ultrafast-recovery-150ma/dp/2306361?&amp;CMP=KNC-GRO-GEN-SKU-MDC-CCT&amp;mckv=s_dc%7Cpcrid%7C729352971294%7Ckword%7C1n4148%7Cmatch%7Cp%7Cplid%7C%7Cslid%7C%7Cproduct%7C%7Cpgrid%7C171957268685%7Cptaid%7Ckwd-190467193%7C&amp;gad_source=1&amp;gad_campaignid=22130214640&amp;gbraid=0AAAAAD8yeHkFMzKjicOFPktw7HRfytd55&amp;gclid=Cj0KCQjwrPHABhCIARIsAFW2XBPBMBCODzYajy6p0oUHJ22Nh_6YddKiCMCRtVtKbd0SHohe35MeZ6gaAt4UEALw_wcB" TargetMode="External"/><Relationship Id="rId25" Type="http://schemas.openxmlformats.org/officeDocument/2006/relationships/table" Target="../tables/table2.xml"/><Relationship Id="rId17" Type="http://schemas.openxmlformats.org/officeDocument/2006/relationships/hyperlink" Target="http://distrelec.ch" TargetMode="External"/><Relationship Id="rId16" Type="http://schemas.openxmlformats.org/officeDocument/2006/relationships/hyperlink" Target="https://www.tme.eu/ro/details/ts555cn/circuit-de-supraveghere-si-resetare/stmicroelectronics/" TargetMode="External"/><Relationship Id="rId5" Type="http://schemas.openxmlformats.org/officeDocument/2006/relationships/hyperlink" Target="https://www.tme.eu/" TargetMode="External"/><Relationship Id="rId19" Type="http://schemas.openxmlformats.org/officeDocument/2006/relationships/hyperlink" Target="https://www.tme.eu/" TargetMode="External"/><Relationship Id="rId6" Type="http://schemas.openxmlformats.org/officeDocument/2006/relationships/hyperlink" Target="https://www.tme.eu/ro/details/crcw12062m20fktabc/rezistente-smd/vishay/" TargetMode="External"/><Relationship Id="rId18" Type="http://schemas.openxmlformats.org/officeDocument/2006/relationships/hyperlink" Target="https://www.distrelec.ch/en/electromechanical-buzzer-70db-3khz-4v-30-70-rnd-rnd-430-00022/p/30160669" TargetMode="External"/><Relationship Id="rId7" Type="http://schemas.openxmlformats.org/officeDocument/2006/relationships/hyperlink" Target="https://www.tme.eu/" TargetMode="External"/><Relationship Id="rId8" Type="http://schemas.openxmlformats.org/officeDocument/2006/relationships/hyperlink" Target="https://www.tme.eu/ro/details/wr12x1004ftl/rezistente-smd/wals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5.0"/>
    <col customWidth="1" min="5" max="5" width="54.38"/>
    <col customWidth="1" min="7" max="7" width="15.0"/>
    <col customWidth="1" min="8" max="9" width="21.13"/>
    <col customWidth="1" min="10" max="10" width="21.0"/>
    <col customWidth="1" min="11" max="11" width="18.0"/>
    <col customWidth="1" min="12" max="12" width="13.5"/>
    <col customWidth="1" min="13" max="13" width="16.63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O2" s="1" t="s">
        <v>13</v>
      </c>
    </row>
    <row r="3">
      <c r="A3" s="1">
        <v>1.0</v>
      </c>
      <c r="B3" s="1">
        <v>1.0</v>
      </c>
      <c r="C3" s="1" t="s">
        <v>14</v>
      </c>
      <c r="D3" s="1" t="s">
        <v>15</v>
      </c>
      <c r="E3" s="2" t="s">
        <v>16</v>
      </c>
      <c r="F3" s="1" t="s">
        <v>17</v>
      </c>
      <c r="G3" s="1" t="s">
        <v>18</v>
      </c>
      <c r="H3" s="2" t="s">
        <v>19</v>
      </c>
      <c r="I3" s="3" t="s">
        <v>20</v>
      </c>
      <c r="J3" s="2" t="s">
        <v>21</v>
      </c>
      <c r="K3" s="1">
        <v>0.43073</v>
      </c>
      <c r="L3" s="1">
        <v>1.0</v>
      </c>
      <c r="M3" s="1">
        <v>0.43073</v>
      </c>
      <c r="O3" s="4" t="s">
        <v>13</v>
      </c>
    </row>
    <row r="4">
      <c r="A4" s="1">
        <v>2.0</v>
      </c>
      <c r="B4" s="1">
        <v>1.0</v>
      </c>
      <c r="C4" s="1" t="s">
        <v>22</v>
      </c>
      <c r="D4" s="1" t="s">
        <v>23</v>
      </c>
      <c r="E4" s="2" t="s">
        <v>24</v>
      </c>
      <c r="F4" s="1" t="s">
        <v>25</v>
      </c>
      <c r="G4" s="1" t="s">
        <v>26</v>
      </c>
      <c r="H4" s="1" t="s">
        <v>27</v>
      </c>
      <c r="I4" s="3" t="s">
        <v>20</v>
      </c>
      <c r="J4" s="1" t="s">
        <v>28</v>
      </c>
      <c r="K4" s="5">
        <f>M4/L4</f>
        <v>1.0395</v>
      </c>
      <c r="L4" s="1">
        <v>2.0</v>
      </c>
      <c r="M4" s="1">
        <v>2.079</v>
      </c>
      <c r="O4" s="4" t="s">
        <v>13</v>
      </c>
    </row>
    <row r="5">
      <c r="A5" s="1">
        <v>3.0</v>
      </c>
      <c r="B5" s="1">
        <v>1.0</v>
      </c>
      <c r="C5" s="1" t="s">
        <v>29</v>
      </c>
      <c r="D5" s="1" t="s">
        <v>30</v>
      </c>
      <c r="E5" s="2" t="s">
        <v>31</v>
      </c>
      <c r="F5" s="1" t="s">
        <v>17</v>
      </c>
      <c r="G5" s="1" t="s">
        <v>18</v>
      </c>
      <c r="H5" s="1" t="s">
        <v>32</v>
      </c>
      <c r="I5" s="3" t="s">
        <v>20</v>
      </c>
      <c r="J5" s="1" t="s">
        <v>33</v>
      </c>
      <c r="K5" s="1">
        <v>0.11738</v>
      </c>
      <c r="L5" s="1">
        <v>100.0</v>
      </c>
      <c r="M5" s="1">
        <v>11.74</v>
      </c>
      <c r="O5" s="4" t="s">
        <v>13</v>
      </c>
    </row>
    <row r="6">
      <c r="A6" s="1">
        <v>4.0</v>
      </c>
      <c r="B6" s="1">
        <v>1.0</v>
      </c>
      <c r="C6" s="1" t="s">
        <v>34</v>
      </c>
      <c r="D6" s="1" t="s">
        <v>35</v>
      </c>
      <c r="E6" s="2" t="s">
        <v>36</v>
      </c>
      <c r="F6" s="1" t="s">
        <v>17</v>
      </c>
      <c r="G6" s="1" t="s">
        <v>18</v>
      </c>
      <c r="H6" s="2" t="s">
        <v>19</v>
      </c>
      <c r="I6" s="3" t="s">
        <v>20</v>
      </c>
      <c r="J6" s="1" t="s">
        <v>37</v>
      </c>
      <c r="K6" s="1">
        <v>0.43073</v>
      </c>
      <c r="L6" s="1">
        <v>1.0</v>
      </c>
      <c r="M6" s="1">
        <v>0.43073</v>
      </c>
      <c r="O6" s="4" t="s">
        <v>13</v>
      </c>
    </row>
    <row r="7">
      <c r="A7" s="1">
        <v>5.0</v>
      </c>
      <c r="B7" s="1">
        <v>1.0</v>
      </c>
      <c r="C7" s="1" t="s">
        <v>38</v>
      </c>
      <c r="D7" s="1" t="s">
        <v>39</v>
      </c>
      <c r="E7" s="2" t="s">
        <v>40</v>
      </c>
      <c r="F7" s="1" t="s">
        <v>25</v>
      </c>
      <c r="G7" s="1" t="s">
        <v>41</v>
      </c>
      <c r="H7" s="1" t="s">
        <v>42</v>
      </c>
      <c r="I7" s="3" t="s">
        <v>20</v>
      </c>
      <c r="J7" s="1" t="s">
        <v>43</v>
      </c>
      <c r="K7" s="1">
        <v>1.117</v>
      </c>
      <c r="L7" s="1">
        <v>1.0</v>
      </c>
      <c r="M7" s="1">
        <v>1.117</v>
      </c>
      <c r="O7" s="4" t="s">
        <v>13</v>
      </c>
    </row>
    <row r="8">
      <c r="A8" s="1">
        <v>6.0</v>
      </c>
      <c r="B8" s="1">
        <v>1.0</v>
      </c>
      <c r="C8" s="1" t="s">
        <v>44</v>
      </c>
      <c r="D8" s="1" t="s">
        <v>45</v>
      </c>
      <c r="E8" s="2" t="s">
        <v>46</v>
      </c>
      <c r="F8" s="1" t="s">
        <v>17</v>
      </c>
      <c r="G8" s="2" t="s">
        <v>47</v>
      </c>
      <c r="H8" s="2" t="s">
        <v>48</v>
      </c>
      <c r="I8" s="3" t="s">
        <v>20</v>
      </c>
      <c r="J8" s="1" t="s">
        <v>49</v>
      </c>
      <c r="K8" s="1">
        <v>5.532</v>
      </c>
      <c r="L8" s="1">
        <v>1.0</v>
      </c>
      <c r="M8" s="1">
        <v>5.532</v>
      </c>
      <c r="O8" s="4" t="s">
        <v>13</v>
      </c>
    </row>
    <row r="9">
      <c r="A9" s="1">
        <v>7.0</v>
      </c>
      <c r="B9" s="1">
        <v>1.0</v>
      </c>
      <c r="C9" s="1" t="s">
        <v>50</v>
      </c>
      <c r="D9" s="1" t="s">
        <v>51</v>
      </c>
      <c r="E9" s="2" t="s">
        <v>52</v>
      </c>
      <c r="F9" s="1" t="s">
        <v>17</v>
      </c>
      <c r="G9" s="1" t="s">
        <v>53</v>
      </c>
      <c r="H9" s="1" t="s">
        <v>54</v>
      </c>
      <c r="I9" s="3" t="s">
        <v>55</v>
      </c>
      <c r="J9" s="1" t="s">
        <v>56</v>
      </c>
      <c r="K9" s="1">
        <v>0.41</v>
      </c>
      <c r="L9" s="1">
        <v>1.0</v>
      </c>
      <c r="M9" s="1">
        <v>0.41</v>
      </c>
      <c r="O9" s="4" t="s">
        <v>13</v>
      </c>
    </row>
    <row r="10">
      <c r="A10" s="1">
        <v>8.0</v>
      </c>
      <c r="B10" s="1">
        <v>1.0</v>
      </c>
      <c r="C10" s="1" t="s">
        <v>57</v>
      </c>
      <c r="D10" s="1" t="s">
        <v>58</v>
      </c>
      <c r="E10" s="2" t="s">
        <v>59</v>
      </c>
      <c r="F10" s="1" t="s">
        <v>25</v>
      </c>
      <c r="G10" s="1" t="s">
        <v>60</v>
      </c>
      <c r="H10" s="1" t="s">
        <v>61</v>
      </c>
      <c r="I10" s="3" t="s">
        <v>20</v>
      </c>
      <c r="J10" s="1" t="s">
        <v>58</v>
      </c>
      <c r="K10" s="1">
        <v>2.84</v>
      </c>
      <c r="L10" s="1">
        <v>1.0</v>
      </c>
      <c r="M10" s="1">
        <v>2.84</v>
      </c>
      <c r="O10" s="4" t="s">
        <v>13</v>
      </c>
    </row>
    <row r="11">
      <c r="A11" s="1">
        <v>9.0</v>
      </c>
      <c r="B11" s="1">
        <v>1.0</v>
      </c>
      <c r="C11" s="1" t="s">
        <v>62</v>
      </c>
      <c r="D11" s="1" t="s">
        <v>63</v>
      </c>
      <c r="E11" s="1" t="s">
        <v>64</v>
      </c>
      <c r="F11" s="1" t="s">
        <v>25</v>
      </c>
      <c r="G11" s="1" t="s">
        <v>26</v>
      </c>
      <c r="H11" s="1" t="s">
        <v>65</v>
      </c>
      <c r="I11" s="6" t="s">
        <v>66</v>
      </c>
      <c r="J11" s="1" t="s">
        <v>67</v>
      </c>
      <c r="K11" s="1">
        <v>11.24</v>
      </c>
      <c r="L11" s="1">
        <v>1.0</v>
      </c>
      <c r="M11" s="1">
        <v>11.24</v>
      </c>
      <c r="O11" s="4" t="s">
        <v>13</v>
      </c>
    </row>
    <row r="12">
      <c r="A12" s="1">
        <v>10.0</v>
      </c>
      <c r="B12" s="1">
        <v>1.0</v>
      </c>
      <c r="C12" s="1" t="s">
        <v>68</v>
      </c>
      <c r="D12" s="1" t="s">
        <v>69</v>
      </c>
      <c r="E12" s="2" t="s">
        <v>70</v>
      </c>
      <c r="F12" s="1" t="s">
        <v>71</v>
      </c>
      <c r="G12" s="1" t="s">
        <v>26</v>
      </c>
      <c r="H12" s="1" t="s">
        <v>72</v>
      </c>
      <c r="I12" s="3" t="s">
        <v>20</v>
      </c>
      <c r="J12" s="1" t="s">
        <v>73</v>
      </c>
      <c r="K12" s="1">
        <v>1.24</v>
      </c>
      <c r="L12" s="1">
        <v>20.0</v>
      </c>
      <c r="M12" s="5">
        <f>K12*L12</f>
        <v>24.8</v>
      </c>
      <c r="O12" s="4" t="s">
        <v>13</v>
      </c>
    </row>
    <row r="14">
      <c r="M14" s="7" t="s">
        <v>74</v>
      </c>
    </row>
    <row r="15">
      <c r="B15" s="8"/>
      <c r="C15" s="8"/>
      <c r="H15" s="2"/>
      <c r="I15" s="2"/>
      <c r="J15" s="2"/>
      <c r="K15" s="9"/>
      <c r="M15" s="5">
        <f>SUM(M3:M12)</f>
        <v>60.61946</v>
      </c>
    </row>
    <row r="16">
      <c r="B16" s="8"/>
      <c r="C16" s="8"/>
      <c r="K16" s="9"/>
    </row>
    <row r="17">
      <c r="B17" s="8"/>
      <c r="C17" s="8"/>
      <c r="K17" s="9"/>
    </row>
    <row r="18">
      <c r="B18" s="8"/>
      <c r="C18" s="8"/>
      <c r="H18" s="2"/>
      <c r="K18" s="9"/>
    </row>
    <row r="19">
      <c r="B19" s="8"/>
      <c r="C19" s="8"/>
      <c r="K19" s="9"/>
    </row>
    <row r="20">
      <c r="B20" s="8"/>
      <c r="C20" s="8"/>
      <c r="G20" s="2"/>
      <c r="H20" s="2"/>
      <c r="K20" s="9"/>
    </row>
    <row r="21">
      <c r="K21" s="9"/>
    </row>
    <row r="22">
      <c r="B22" s="8"/>
      <c r="C22" s="8"/>
      <c r="K22" s="9"/>
    </row>
    <row r="23">
      <c r="B23" s="8"/>
      <c r="C23" s="8"/>
      <c r="K23" s="9"/>
    </row>
    <row r="24">
      <c r="K24" s="9"/>
    </row>
  </sheetData>
  <hyperlinks>
    <hyperlink r:id="rId1" ref="I3"/>
    <hyperlink r:id="rId2" ref="O3"/>
    <hyperlink r:id="rId3" ref="I4"/>
    <hyperlink r:id="rId4" ref="O4"/>
    <hyperlink r:id="rId5" ref="I5"/>
    <hyperlink r:id="rId6" ref="O5"/>
    <hyperlink r:id="rId7" ref="I6"/>
    <hyperlink r:id="rId8" ref="O6"/>
    <hyperlink r:id="rId9" ref="I7"/>
    <hyperlink r:id="rId10" ref="O7"/>
    <hyperlink r:id="rId11" ref="I8"/>
    <hyperlink r:id="rId12" ref="O8"/>
    <hyperlink r:id="rId13" ref="I9"/>
    <hyperlink r:id="rId14" ref="O9"/>
    <hyperlink r:id="rId15" ref="I10"/>
    <hyperlink r:id="rId16" ref="O10"/>
    <hyperlink r:id="rId17" ref="I11"/>
    <hyperlink r:id="rId18" ref="O11"/>
    <hyperlink r:id="rId19" ref="I12"/>
    <hyperlink r:id="rId20" ref="O12"/>
  </hyperlinks>
  <drawing r:id="rId21"/>
  <tableParts count="2">
    <tablePart r:id="rId24"/>
    <tablePart r:id="rId25"/>
  </tableParts>
</worksheet>
</file>